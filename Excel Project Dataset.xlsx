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endo Jackie\Downloads\"/>
    </mc:Choice>
  </mc:AlternateContent>
  <xr:revisionPtr revIDLastSave="0" documentId="13_ncr:1_{08552EAD-0FF9-4910-B176-EC752D313C8E}"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<sst xmlns="http://schemas.openxmlformats.org/spreadsheetml/2006/main" count="16265" uniqueCount="50">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</sst>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8"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table'!$H$13:$H$14</c:f>
              <c:strCache>
                <c:ptCount val="1"/>
                <c:pt idx="0">
                  <c:v>No</c:v>
                </c:pt>
              </c:strCache>
            </c:strRef>
          </c:tx>
          <c:spPr>
            <a:solidFill>
              <a:schemeClr val="accent1"/>
            </a:solidFill>
            <a:ln>
              <a:noFill/>
            </a:ln>
            <a:effectLst/>
          </c:spPr>
          <c:invertIfNegative val="0"/>
          <c:cat>
            <c:strRef>
              <c:f>'pivot table'!$G$15:$G$17</c:f>
              <c:strCache>
                <c:ptCount val="2"/>
                <c:pt idx="0">
                  <c:v>Female</c:v>
                </c:pt>
                <c:pt idx="1">
                  <c:v>Male</c:v>
                </c:pt>
              </c:strCache>
            </c:strRef>
          </c:cat>
          <c:val>
            <c:numRef>
              <c:f>'pivot table'!$H$15:$H$17</c:f>
              <c:numCache>
                <c:formatCode>_-[$$-409]* #,##0_ ;_-[$$-409]* \-#,##0\ ;_-[$$-409]* "-"??_ ;_-@_ </c:formatCode>
                <c:ptCount val="2"/>
                <c:pt idx="0">
                  <c:v>66666.666666666672</c:v>
                </c:pt>
                <c:pt idx="1">
                  <c:v>22500</c:v>
                </c:pt>
              </c:numCache>
            </c:numRef>
          </c:val>
          <c:extLst>
            <c:ext xmlns:c16="http://schemas.microsoft.com/office/drawing/2014/chart" uri="{C3380CC4-5D6E-409C-BE32-E72D297353CC}">
              <c16:uniqueId val="{00000000-E5CE-45E9-AB06-7A09238D8788}"/>
            </c:ext>
          </c:extLst>
        </c:ser>
        <c:ser>
          <c:idx val="1"/>
          <c:order val="1"/>
          <c:tx>
            <c:strRef>
              <c:f>'pivot table'!$I$13:$I$14</c:f>
              <c:strCache>
                <c:ptCount val="1"/>
                <c:pt idx="0">
                  <c:v>Yes</c:v>
                </c:pt>
              </c:strCache>
            </c:strRef>
          </c:tx>
          <c:spPr>
            <a:solidFill>
              <a:schemeClr val="accent2"/>
            </a:solidFill>
            <a:ln>
              <a:noFill/>
            </a:ln>
            <a:effectLst/>
          </c:spPr>
          <c:invertIfNegative val="0"/>
          <c:cat>
            <c:strRef>
              <c:f>'pivot table'!$G$15:$G$17</c:f>
              <c:strCache>
                <c:ptCount val="2"/>
                <c:pt idx="0">
                  <c:v>Female</c:v>
                </c:pt>
                <c:pt idx="1">
                  <c:v>Male</c:v>
                </c:pt>
              </c:strCache>
            </c:strRef>
          </c:cat>
          <c:val>
            <c:numRef>
              <c:f>'pivot table'!$I$15:$I$17</c:f>
              <c:numCache>
                <c:formatCode>_-[$$-409]* #,##0_ ;_-[$$-409]* \-#,##0\ ;_-[$$-409]* "-"??_ ;_-@_ </c:formatCode>
                <c:ptCount val="2"/>
                <c:pt idx="0">
                  <c:v>35000</c:v>
                </c:pt>
                <c:pt idx="1">
                  <c:v>33333.333333333336</c:v>
                </c:pt>
              </c:numCache>
            </c:numRef>
          </c:val>
          <c:extLst>
            <c:ext xmlns:c16="http://schemas.microsoft.com/office/drawing/2014/chart" uri="{C3380CC4-5D6E-409C-BE32-E72D297353CC}">
              <c16:uniqueId val="{00000001-E5CE-45E9-AB06-7A09238D8788}"/>
            </c:ext>
          </c:extLst>
        </c:ser>
        <c:dLbls>
          <c:showLegendKey val="0"/>
          <c:showVal val="0"/>
          <c:showCatName val="0"/>
          <c:showSerName val="0"/>
          <c:showPercent val="0"/>
          <c:showBubbleSize val="0"/>
        </c:dLbls>
        <c:gapWidth val="219"/>
        <c:overlap val="-27"/>
        <c:axId val="547989160"/>
        <c:axId val="547988080"/>
      </c:barChart>
      <c:catAx>
        <c:axId val="547989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988080"/>
        <c:crosses val="autoZero"/>
        <c:auto val="1"/>
        <c:lblAlgn val="ctr"/>
        <c:lblOffset val="100"/>
        <c:noMultiLvlLbl val="0"/>
      </c:catAx>
      <c:valAx>
        <c:axId val="547988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989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table'!$H$25:$H$26</c:f>
              <c:strCache>
                <c:ptCount val="1"/>
                <c:pt idx="0">
                  <c:v>No</c:v>
                </c:pt>
              </c:strCache>
            </c:strRef>
          </c:tx>
          <c:spPr>
            <a:ln w="28575" cap="rnd">
              <a:solidFill>
                <a:schemeClr val="accent1"/>
              </a:solidFill>
              <a:round/>
            </a:ln>
            <a:effectLst/>
          </c:spPr>
          <c:marker>
            <c:symbol val="none"/>
          </c:marker>
          <c:cat>
            <c:strRef>
              <c:f>'pivot table'!$G$27:$G$31</c:f>
              <c:strCache>
                <c:ptCount val="4"/>
                <c:pt idx="0">
                  <c:v>0-1 Miles</c:v>
                </c:pt>
                <c:pt idx="1">
                  <c:v>1-2 Miles</c:v>
                </c:pt>
                <c:pt idx="2">
                  <c:v>2-5 Miles</c:v>
                </c:pt>
                <c:pt idx="3">
                  <c:v>More Than 10 Miles</c:v>
                </c:pt>
              </c:strCache>
            </c:strRef>
          </c:cat>
          <c:val>
            <c:numRef>
              <c:f>'pivot table'!$H$27:$H$31</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1087-48AE-9076-8C806B18762D}"/>
            </c:ext>
          </c:extLst>
        </c:ser>
        <c:ser>
          <c:idx val="1"/>
          <c:order val="1"/>
          <c:tx>
            <c:strRef>
              <c:f>'pivot table'!$I$25:$I$26</c:f>
              <c:strCache>
                <c:ptCount val="1"/>
                <c:pt idx="0">
                  <c:v>Yes</c:v>
                </c:pt>
              </c:strCache>
            </c:strRef>
          </c:tx>
          <c:spPr>
            <a:ln w="28575" cap="rnd">
              <a:solidFill>
                <a:schemeClr val="accent2"/>
              </a:solidFill>
              <a:round/>
            </a:ln>
            <a:effectLst/>
          </c:spPr>
          <c:marker>
            <c:symbol val="none"/>
          </c:marker>
          <c:cat>
            <c:strRef>
              <c:f>'pivot table'!$G$27:$G$31</c:f>
              <c:strCache>
                <c:ptCount val="4"/>
                <c:pt idx="0">
                  <c:v>0-1 Miles</c:v>
                </c:pt>
                <c:pt idx="1">
                  <c:v>1-2 Miles</c:v>
                </c:pt>
                <c:pt idx="2">
                  <c:v>2-5 Miles</c:v>
                </c:pt>
                <c:pt idx="3">
                  <c:v>More Than 10 Miles</c:v>
                </c:pt>
              </c:strCache>
            </c:strRef>
          </c:cat>
          <c:val>
            <c:numRef>
              <c:f>'pivot table'!$I$27:$I$31</c:f>
              <c:numCache>
                <c:formatCode>General</c:formatCode>
                <c:ptCount val="4"/>
                <c:pt idx="0">
                  <c:v>11</c:v>
                </c:pt>
                <c:pt idx="1">
                  <c:v>2</c:v>
                </c:pt>
              </c:numCache>
            </c:numRef>
          </c:val>
          <c:smooth val="0"/>
          <c:extLst>
            <c:ext xmlns:c16="http://schemas.microsoft.com/office/drawing/2014/chart" uri="{C3380CC4-5D6E-409C-BE32-E72D297353CC}">
              <c16:uniqueId val="{00000001-1087-48AE-9076-8C806B18762D}"/>
            </c:ext>
          </c:extLst>
        </c:ser>
        <c:dLbls>
          <c:showLegendKey val="0"/>
          <c:showVal val="0"/>
          <c:showCatName val="0"/>
          <c:showSerName val="0"/>
          <c:showPercent val="0"/>
          <c:showBubbleSize val="0"/>
        </c:dLbls>
        <c:smooth val="0"/>
        <c:axId val="126937664"/>
        <c:axId val="126931904"/>
      </c:lineChart>
      <c:catAx>
        <c:axId val="12693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6931904"/>
        <c:crosses val="autoZero"/>
        <c:auto val="1"/>
        <c:lblAlgn val="ctr"/>
        <c:lblOffset val="100"/>
        <c:noMultiLvlLbl val="0"/>
      </c:catAx>
      <c:valAx>
        <c:axId val="12693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69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table'!$H$41:$H$42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table'!$G$43:$G$45</c:f>
              <c:strCache>
                <c:ptCount val="2"/>
                <c:pt idx="0">
                  <c:v>Middle Age</c:v>
                </c:pt>
                <c:pt idx="1">
                  <c:v>Old</c:v>
                </c:pt>
              </c:strCache>
            </c:strRef>
          </c:cat>
          <c:val>
            <c:numRef>
              <c:f>'pivot table'!$H$43:$H$45</c:f>
              <c:numCache>
                <c:formatCode>General</c:formatCode>
                <c:ptCount val="2"/>
                <c:pt idx="0">
                  <c:v>4</c:v>
                </c:pt>
                <c:pt idx="1">
                  <c:v>3</c:v>
                </c:pt>
              </c:numCache>
            </c:numRef>
          </c:val>
          <c:smooth val="0"/>
          <c:extLst>
            <c:ext xmlns:c16="http://schemas.microsoft.com/office/drawing/2014/chart" uri="{C3380CC4-5D6E-409C-BE32-E72D297353CC}">
              <c16:uniqueId val="{00000000-36D9-463A-9D5E-A7E598100B6E}"/>
            </c:ext>
          </c:extLst>
        </c:ser>
        <c:ser>
          <c:idx val="1"/>
          <c:order val="1"/>
          <c:tx>
            <c:strRef>
              <c:f>'pivot table'!$I$41:$I$42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table'!$G$43:$G$45</c:f>
              <c:strCache>
                <c:ptCount val="2"/>
                <c:pt idx="0">
                  <c:v>Middle Age</c:v>
                </c:pt>
                <c:pt idx="1">
                  <c:v>Old</c:v>
                </c:pt>
              </c:strCache>
            </c:strRef>
          </c:cat>
          <c:val>
            <c:numRef>
              <c:f>'pivot table'!$I$43:$I$45</c:f>
              <c:numCache>
                <c:formatCode>General</c:formatCode>
                <c:ptCount val="2"/>
                <c:pt idx="0">
                  <c:v>12</c:v>
                </c:pt>
                <c:pt idx="1">
                  <c:v>1</c:v>
                </c:pt>
              </c:numCache>
            </c:numRef>
          </c:val>
          <c:smooth val="0"/>
          <c:extLst>
            <c:ext xmlns:c16="http://schemas.microsoft.com/office/drawing/2014/chart" uri="{C3380CC4-5D6E-409C-BE32-E72D297353CC}">
              <c16:uniqueId val="{00000001-36D9-463A-9D5E-A7E598100B6E}"/>
            </c:ext>
          </c:extLst>
        </c:ser>
        <c:dLbls>
          <c:showLegendKey val="0"/>
          <c:showVal val="0"/>
          <c:showCatName val="0"/>
          <c:showSerName val="0"/>
          <c:showPercent val="0"/>
          <c:showBubbleSize val="0"/>
        </c:dLbls>
        <c:marker val="1"/>
        <c:smooth val="0"/>
        <c:axId val="547565496"/>
        <c:axId val="547565856"/>
      </c:lineChart>
      <c:catAx>
        <c:axId val="547565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565856"/>
        <c:crosses val="autoZero"/>
        <c:auto val="1"/>
        <c:lblAlgn val="ctr"/>
        <c:lblOffset val="100"/>
        <c:noMultiLvlLbl val="0"/>
      </c:catAx>
      <c:valAx>
        <c:axId val="54756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565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table'!$H$13:$H$14</c:f>
              <c:strCache>
                <c:ptCount val="1"/>
                <c:pt idx="0">
                  <c:v>No</c:v>
                </c:pt>
              </c:strCache>
            </c:strRef>
          </c:tx>
          <c:spPr>
            <a:solidFill>
              <a:schemeClr val="accent1"/>
            </a:solidFill>
            <a:ln>
              <a:noFill/>
            </a:ln>
            <a:effectLst/>
          </c:spPr>
          <c:invertIfNegative val="0"/>
          <c:cat>
            <c:strRef>
              <c:f>'pivot table'!$G$15:$G$17</c:f>
              <c:strCache>
                <c:ptCount val="2"/>
                <c:pt idx="0">
                  <c:v>Female</c:v>
                </c:pt>
                <c:pt idx="1">
                  <c:v>Male</c:v>
                </c:pt>
              </c:strCache>
            </c:strRef>
          </c:cat>
          <c:val>
            <c:numRef>
              <c:f>'pivot table'!$H$15:$H$17</c:f>
              <c:numCache>
                <c:formatCode>_-[$$-409]* #,##0_ ;_-[$$-409]* \-#,##0\ ;_-[$$-409]* "-"??_ ;_-@_ </c:formatCode>
                <c:ptCount val="2"/>
                <c:pt idx="0">
                  <c:v>66666.666666666672</c:v>
                </c:pt>
                <c:pt idx="1">
                  <c:v>22500</c:v>
                </c:pt>
              </c:numCache>
            </c:numRef>
          </c:val>
          <c:extLst>
            <c:ext xmlns:c16="http://schemas.microsoft.com/office/drawing/2014/chart" uri="{C3380CC4-5D6E-409C-BE32-E72D297353CC}">
              <c16:uniqueId val="{00000000-7624-46D9-AE12-A82BBE582968}"/>
            </c:ext>
          </c:extLst>
        </c:ser>
        <c:ser>
          <c:idx val="1"/>
          <c:order val="1"/>
          <c:tx>
            <c:strRef>
              <c:f>'pivot table'!$I$13:$I$14</c:f>
              <c:strCache>
                <c:ptCount val="1"/>
                <c:pt idx="0">
                  <c:v>Yes</c:v>
                </c:pt>
              </c:strCache>
            </c:strRef>
          </c:tx>
          <c:spPr>
            <a:solidFill>
              <a:schemeClr val="accent2"/>
            </a:solidFill>
            <a:ln>
              <a:noFill/>
            </a:ln>
            <a:effectLst/>
          </c:spPr>
          <c:invertIfNegative val="0"/>
          <c:cat>
            <c:strRef>
              <c:f>'pivot table'!$G$15:$G$17</c:f>
              <c:strCache>
                <c:ptCount val="2"/>
                <c:pt idx="0">
                  <c:v>Female</c:v>
                </c:pt>
                <c:pt idx="1">
                  <c:v>Male</c:v>
                </c:pt>
              </c:strCache>
            </c:strRef>
          </c:cat>
          <c:val>
            <c:numRef>
              <c:f>'pivot table'!$I$15:$I$17</c:f>
              <c:numCache>
                <c:formatCode>_-[$$-409]* #,##0_ ;_-[$$-409]* \-#,##0\ ;_-[$$-409]* "-"??_ ;_-@_ </c:formatCode>
                <c:ptCount val="2"/>
                <c:pt idx="0">
                  <c:v>35000</c:v>
                </c:pt>
                <c:pt idx="1">
                  <c:v>33333.333333333336</c:v>
                </c:pt>
              </c:numCache>
            </c:numRef>
          </c:val>
          <c:extLst>
            <c:ext xmlns:c16="http://schemas.microsoft.com/office/drawing/2014/chart" uri="{C3380CC4-5D6E-409C-BE32-E72D297353CC}">
              <c16:uniqueId val="{00000001-7624-46D9-AE12-A82BBE582968}"/>
            </c:ext>
          </c:extLst>
        </c:ser>
        <c:dLbls>
          <c:showLegendKey val="0"/>
          <c:showVal val="0"/>
          <c:showCatName val="0"/>
          <c:showSerName val="0"/>
          <c:showPercent val="0"/>
          <c:showBubbleSize val="0"/>
        </c:dLbls>
        <c:gapWidth val="219"/>
        <c:overlap val="-27"/>
        <c:axId val="547989160"/>
        <c:axId val="547988080"/>
      </c:barChart>
      <c:catAx>
        <c:axId val="547989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988080"/>
        <c:crosses val="autoZero"/>
        <c:auto val="1"/>
        <c:lblAlgn val="ctr"/>
        <c:lblOffset val="100"/>
        <c:noMultiLvlLbl val="0"/>
      </c:catAx>
      <c:valAx>
        <c:axId val="547988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989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table'!$H$25:$H$26</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table'!$G$27:$G$31</c:f>
              <c:strCache>
                <c:ptCount val="4"/>
                <c:pt idx="0">
                  <c:v>0-1 Miles</c:v>
                </c:pt>
                <c:pt idx="1">
                  <c:v>1-2 Miles</c:v>
                </c:pt>
                <c:pt idx="2">
                  <c:v>2-5 Miles</c:v>
                </c:pt>
                <c:pt idx="3">
                  <c:v>More Than 10 Miles</c:v>
                </c:pt>
              </c:strCache>
            </c:strRef>
          </c:cat>
          <c:val>
            <c:numRef>
              <c:f>'pivot table'!$H$27:$H$31</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1B18-463D-88C1-8AEFB0622E11}"/>
            </c:ext>
          </c:extLst>
        </c:ser>
        <c:ser>
          <c:idx val="1"/>
          <c:order val="1"/>
          <c:tx>
            <c:strRef>
              <c:f>'pivot table'!$I$25:$I$26</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table'!$G$27:$G$31</c:f>
              <c:strCache>
                <c:ptCount val="4"/>
                <c:pt idx="0">
                  <c:v>0-1 Miles</c:v>
                </c:pt>
                <c:pt idx="1">
                  <c:v>1-2 Miles</c:v>
                </c:pt>
                <c:pt idx="2">
                  <c:v>2-5 Miles</c:v>
                </c:pt>
                <c:pt idx="3">
                  <c:v>More Than 10 Miles</c:v>
                </c:pt>
              </c:strCache>
            </c:strRef>
          </c:cat>
          <c:val>
            <c:numRef>
              <c:f>'pivot table'!$I$27:$I$31</c:f>
              <c:numCache>
                <c:formatCode>General</c:formatCode>
                <c:ptCount val="4"/>
                <c:pt idx="0">
                  <c:v>11</c:v>
                </c:pt>
                <c:pt idx="1">
                  <c:v>2</c:v>
                </c:pt>
              </c:numCache>
            </c:numRef>
          </c:val>
          <c:smooth val="0"/>
          <c:extLst>
            <c:ext xmlns:c16="http://schemas.microsoft.com/office/drawing/2014/chart" uri="{C3380CC4-5D6E-409C-BE32-E72D297353CC}">
              <c16:uniqueId val="{00000001-1B18-463D-88C1-8AEFB0622E11}"/>
            </c:ext>
          </c:extLst>
        </c:ser>
        <c:dLbls>
          <c:showLegendKey val="0"/>
          <c:showVal val="0"/>
          <c:showCatName val="0"/>
          <c:showSerName val="0"/>
          <c:showPercent val="0"/>
          <c:showBubbleSize val="0"/>
        </c:dLbls>
        <c:marker val="1"/>
        <c:smooth val="0"/>
        <c:axId val="126937664"/>
        <c:axId val="126931904"/>
      </c:lineChart>
      <c:catAx>
        <c:axId val="12693766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G"/>
          </a:p>
        </c:txPr>
        <c:crossAx val="126931904"/>
        <c:crosses val="autoZero"/>
        <c:auto val="1"/>
        <c:lblAlgn val="ctr"/>
        <c:lblOffset val="100"/>
        <c:noMultiLvlLbl val="0"/>
      </c:catAx>
      <c:valAx>
        <c:axId val="12693190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G"/>
          </a:p>
        </c:txPr>
        <c:crossAx val="12693766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table'!$H$41:$H$42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table'!$G$43:$G$45</c:f>
              <c:strCache>
                <c:ptCount val="2"/>
                <c:pt idx="0">
                  <c:v>Middle Age</c:v>
                </c:pt>
                <c:pt idx="1">
                  <c:v>Old</c:v>
                </c:pt>
              </c:strCache>
            </c:strRef>
          </c:cat>
          <c:val>
            <c:numRef>
              <c:f>'pivot table'!$H$43:$H$45</c:f>
              <c:numCache>
                <c:formatCode>General</c:formatCode>
                <c:ptCount val="2"/>
                <c:pt idx="0">
                  <c:v>4</c:v>
                </c:pt>
                <c:pt idx="1">
                  <c:v>3</c:v>
                </c:pt>
              </c:numCache>
            </c:numRef>
          </c:val>
          <c:smooth val="0"/>
          <c:extLst>
            <c:ext xmlns:c16="http://schemas.microsoft.com/office/drawing/2014/chart" uri="{C3380CC4-5D6E-409C-BE32-E72D297353CC}">
              <c16:uniqueId val="{00000000-672C-42E7-A99C-7F57CC55D7B2}"/>
            </c:ext>
          </c:extLst>
        </c:ser>
        <c:ser>
          <c:idx val="1"/>
          <c:order val="1"/>
          <c:tx>
            <c:strRef>
              <c:f>'pivot table'!$I$41:$I$42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table'!$G$43:$G$45</c:f>
              <c:strCache>
                <c:ptCount val="2"/>
                <c:pt idx="0">
                  <c:v>Middle Age</c:v>
                </c:pt>
                <c:pt idx="1">
                  <c:v>Old</c:v>
                </c:pt>
              </c:strCache>
            </c:strRef>
          </c:cat>
          <c:val>
            <c:numRef>
              <c:f>'pivot table'!$I$43:$I$45</c:f>
              <c:numCache>
                <c:formatCode>General</c:formatCode>
                <c:ptCount val="2"/>
                <c:pt idx="0">
                  <c:v>12</c:v>
                </c:pt>
                <c:pt idx="1">
                  <c:v>1</c:v>
                </c:pt>
              </c:numCache>
            </c:numRef>
          </c:val>
          <c:smooth val="0"/>
          <c:extLst>
            <c:ext xmlns:c16="http://schemas.microsoft.com/office/drawing/2014/chart" uri="{C3380CC4-5D6E-409C-BE32-E72D297353CC}">
              <c16:uniqueId val="{00000001-672C-42E7-A99C-7F57CC55D7B2}"/>
            </c:ext>
          </c:extLst>
        </c:ser>
        <c:dLbls>
          <c:showLegendKey val="0"/>
          <c:showVal val="0"/>
          <c:showCatName val="0"/>
          <c:showSerName val="0"/>
          <c:showPercent val="0"/>
          <c:showBubbleSize val="0"/>
        </c:dLbls>
        <c:marker val="1"/>
        <c:smooth val="0"/>
        <c:axId val="547565496"/>
        <c:axId val="547565856"/>
      </c:lineChart>
      <c:catAx>
        <c:axId val="547565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565856"/>
        <c:crosses val="autoZero"/>
        <c:auto val="1"/>
        <c:lblAlgn val="ctr"/>
        <c:lblOffset val="100"/>
        <c:noMultiLvlLbl val="0"/>
      </c:catAx>
      <c:valAx>
        <c:axId val="54756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47565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38100</xdr:colOff>
      <xdr:row>8</xdr:row>
      <xdr:rowOff>114300</xdr:rowOff>
    </xdr:from>
    <xdr:to>
      <xdr:col>17</xdr:col>
      <xdr:colOff>342900</xdr:colOff>
      <xdr:row>23</xdr:row>
      <xdr:rowOff>0</xdr:rowOff>
    </xdr:to>
    <xdr:graphicFrame macro="">
      <xdr:nvGraphicFramePr>
        <xdr:cNvPr id="2" name="Chart 1">
          <a:extLst>
            <a:ext uri="{FF2B5EF4-FFF2-40B4-BE49-F238E27FC236}">
              <a16:creationId xmlns:a16="http://schemas.microsoft.com/office/drawing/2014/main" id="{0585390B-7165-C1DC-DAB9-07F934216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47625</xdr:colOff>
      <xdr:row>24</xdr:row>
      <xdr:rowOff>19050</xdr:rowOff>
    </xdr:from>
    <xdr:to>
      <xdr:col>17</xdr:col>
      <xdr:colOff>352425</xdr:colOff>
      <xdr:row>38</xdr:row>
      <xdr:rowOff>95250</xdr:rowOff>
    </xdr:to>
    <xdr:graphicFrame macro="">
      <xdr:nvGraphicFramePr>
        <xdr:cNvPr id="3" name="Chart 2">
          <a:extLst>
            <a:ext uri="{FF2B5EF4-FFF2-40B4-BE49-F238E27FC236}">
              <a16:creationId xmlns:a16="http://schemas.microsoft.com/office/drawing/2014/main" id="{B8E00529-1B28-72B3-7BD3-FA3C37E3D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xdr:colOff>
      <xdr:row>39</xdr:row>
      <xdr:rowOff>171450</xdr:rowOff>
    </xdr:from>
    <xdr:to>
      <xdr:col>17</xdr:col>
      <xdr:colOff>352425</xdr:colOff>
      <xdr:row>54</xdr:row>
      <xdr:rowOff>57150</xdr:rowOff>
    </xdr:to>
    <xdr:graphicFrame macro="">
      <xdr:nvGraphicFramePr>
        <xdr:cNvPr id="4" name="Chart 3">
          <a:extLst>
            <a:ext uri="{FF2B5EF4-FFF2-40B4-BE49-F238E27FC236}">
              <a16:creationId xmlns:a16="http://schemas.microsoft.com/office/drawing/2014/main" id="{DA4E60BD-4DE5-724C-7780-80B118891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0</xdr:rowOff>
    </xdr:from>
    <xdr:to>
      <xdr:col>9</xdr:col>
      <xdr:colOff>0</xdr:colOff>
      <xdr:row>16</xdr:row>
      <xdr:rowOff>47625</xdr:rowOff>
    </xdr:to>
    <xdr:graphicFrame macro="">
      <xdr:nvGraphicFramePr>
        <xdr:cNvPr id="2" name="Chart 1">
          <a:extLst>
            <a:ext uri="{FF2B5EF4-FFF2-40B4-BE49-F238E27FC236}">
              <a16:creationId xmlns:a16="http://schemas.microsoft.com/office/drawing/2014/main" id="{A00F9270-68CD-4F5C-803B-44E442FC4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16</xdr:row>
      <xdr:rowOff>57150</xdr:rowOff>
    </xdr:from>
    <xdr:to>
      <xdr:col>15</xdr:col>
      <xdr:colOff>57151</xdr:colOff>
      <xdr:row>30</xdr:row>
      <xdr:rowOff>133350</xdr:rowOff>
    </xdr:to>
    <xdr:graphicFrame macro="">
      <xdr:nvGraphicFramePr>
        <xdr:cNvPr id="3" name="Chart 2">
          <a:extLst>
            <a:ext uri="{FF2B5EF4-FFF2-40B4-BE49-F238E27FC236}">
              <a16:creationId xmlns:a16="http://schemas.microsoft.com/office/drawing/2014/main" id="{B3F93AF9-DEFB-4697-81C4-2A7999371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xdr:row>
      <xdr:rowOff>0</xdr:rowOff>
    </xdr:from>
    <xdr:to>
      <xdr:col>15</xdr:col>
      <xdr:colOff>28575</xdr:colOff>
      <xdr:row>16</xdr:row>
      <xdr:rowOff>57150</xdr:rowOff>
    </xdr:to>
    <xdr:graphicFrame macro="">
      <xdr:nvGraphicFramePr>
        <xdr:cNvPr id="4" name="Chart 3">
          <a:extLst>
            <a:ext uri="{FF2B5EF4-FFF2-40B4-BE49-F238E27FC236}">
              <a16:creationId xmlns:a16="http://schemas.microsoft.com/office/drawing/2014/main" id="{14DD36FE-FE2D-4685-98D6-1F5C0505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180975</xdr:rowOff>
    </xdr:from>
    <xdr:to>
      <xdr:col>3</xdr:col>
      <xdr:colOff>0</xdr:colOff>
      <xdr:row>8</xdr:row>
      <xdr:rowOff>152400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02CA586-CEF8-9604-A8FB-78496A92C4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52475"/>
              <a:ext cx="1828800" cy="9239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161925</xdr:rowOff>
    </xdr:from>
    <xdr:to>
      <xdr:col>3</xdr:col>
      <xdr:colOff>0</xdr:colOff>
      <xdr:row>23</xdr:row>
      <xdr:rowOff>171450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6DCEA12-AB37-D256-B22E-8071C0631C9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828925"/>
              <a:ext cx="1828800" cy="17240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133351</xdr:rowOff>
    </xdr:from>
    <xdr:to>
      <xdr:col>3</xdr:col>
      <xdr:colOff>0</xdr:colOff>
      <xdr:row>14</xdr:row>
      <xdr:rowOff>152401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974C81B-5CF5-A1A9-B83C-9B9373EA0C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57351"/>
              <a:ext cx="1828800" cy="1162050"/>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ndo Jackie" refreshedDate="46140.698569907407" createdVersion="8" refreshedVersion="8" minRefreshableVersion="3" recordCount="1000" xr:uid="{648B199C-2BF5-4408-920A-6D38FE9DFCF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012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C96995-82AB-4C03-AF4A-F9CA73AAFB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1:J45"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9C0D78-A623-42BB-A860-FBA78350BA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5:J31"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02A490-AD13-4143-98DF-98E4CEFF76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3:J1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9CB33-BE29-4C31-992A-CA328EE01F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7:I74" firstHeaderRow="1" firstDataRow="1" firstDataCol="0"/>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6EF8D4-543C-4C6B-BA6B-308025377C66}" sourceName="Marital Status">
  <pivotTables>
    <pivotTable tabId="3" name="PivotTable2"/>
    <pivotTable tabId="3" name="PivotTable3"/>
    <pivotTable tabId="3" name="PivotTable4"/>
    <pivotTable tabId="3" name="PivotTable5"/>
  </pivotTables>
  <data>
    <tabular pivotCacheId="1001287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A9BD0F2-090D-4BC4-87C7-6E3170C78CD5}" sourceName="Education">
  <pivotTables>
    <pivotTable tabId="3" name="PivotTable2"/>
    <pivotTable tabId="3" name="PivotTable3"/>
    <pivotTable tabId="3" name="PivotTable4"/>
    <pivotTable tabId="3" name="PivotTable5"/>
  </pivotTables>
  <data>
    <tabular pivotCacheId="1001287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55EB1D-F0B7-438B-ABBC-ECD28D155E92}" sourceName="Region">
  <pivotTables>
    <pivotTable tabId="3" name="PivotTable2"/>
    <pivotTable tabId="3" name="PivotTable3"/>
    <pivotTable tabId="3" name="PivotTable4"/>
    <pivotTable tabId="3" name="PivotTable5"/>
  </pivotTables>
  <data>
    <tabular pivotCacheId="1001287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274D6B-6DDA-4C4B-82C4-568FD684A982}" cache="Slicer_Marital_Status" caption="Marital Status" rowHeight="241300"/>
  <slicer name="Education" xr10:uid="{D13058F7-DDE1-40BB-9014-327B852F5DAD}" cache="Slicer_Education" caption="Education" rowHeight="241300"/>
  <slicer name="Region" xr10:uid="{5DE2796A-28DC-49D1-ADFF-90B211ED5E9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7" workbookViewId="0">
      <selection activeCell="N5" sqref="A1:XFD1048576"/>
    </sheetView>
  </sheetViews>
  <sheetFormatPr defaultColWidth="11.85546875" defaultRowHeight="15" x14ac:dyDescent="0.25"/>
  <cols>
    <col min="2" max="2" width="20.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44FF-A0ED-47E1-BF85-E2898B8331CD}">
  <dimension ref="A1:N1001"/>
  <sheetViews>
    <sheetView workbookViewId="0">
      <selection activeCell="J982" sqref="J982"/>
    </sheetView>
  </sheetViews>
  <sheetFormatPr defaultColWidth="11.85546875" defaultRowHeight="15" x14ac:dyDescent="0.25"/>
  <cols>
    <col min="2" max="2" width="20.5703125" customWidth="1"/>
    <col min="4" max="4" width="16.140625" style="14" customWidth="1"/>
    <col min="13" max="13" width="17.42578125" customWidth="1"/>
    <col min="14" max="14" width="15.42578125" customWidth="1"/>
  </cols>
  <sheetData>
    <row r="1" spans="1:14" x14ac:dyDescent="0.25">
      <c r="A1" t="s">
        <v>0</v>
      </c>
      <c r="B1" t="s">
        <v>1</v>
      </c>
      <c r="C1" t="s">
        <v>2</v>
      </c>
      <c r="D1" s="14" t="s">
        <v>3</v>
      </c>
      <c r="E1" t="s">
        <v>4</v>
      </c>
      <c r="F1" t="s">
        <v>5</v>
      </c>
      <c r="G1" t="s">
        <v>6</v>
      </c>
      <c r="H1" t="s">
        <v>7</v>
      </c>
      <c r="I1" t="s">
        <v>8</v>
      </c>
      <c r="J1" t="s">
        <v>9</v>
      </c>
      <c r="K1" t="s">
        <v>10</v>
      </c>
      <c r="L1" t="s">
        <v>11</v>
      </c>
      <c r="M1" t="s">
        <v>40</v>
      </c>
      <c r="N1" t="s">
        <v>12</v>
      </c>
    </row>
    <row r="2" spans="1:14" x14ac:dyDescent="0.25">
      <c r="A2">
        <v>12496</v>
      </c>
      <c r="B2" t="s">
        <v>36</v>
      </c>
      <c r="C2" t="s">
        <v>39</v>
      </c>
      <c r="D2" s="14">
        <v>40000</v>
      </c>
      <c r="E2">
        <v>1</v>
      </c>
      <c r="F2" t="s">
        <v>13</v>
      </c>
      <c r="G2" t="s">
        <v>14</v>
      </c>
      <c r="H2" t="s">
        <v>15</v>
      </c>
      <c r="I2">
        <v>0</v>
      </c>
      <c r="J2" t="s">
        <v>16</v>
      </c>
      <c r="K2" t="s">
        <v>17</v>
      </c>
      <c r="L2">
        <v>42</v>
      </c>
      <c r="M2" t="str">
        <f>IF(L2&gt;54, "Old",IF(L2&gt;=31,"Middle Age",IF(L2&lt;31,"Adolescent","Invalid")))</f>
        <v>Middle Age</v>
      </c>
      <c r="N2" t="s">
        <v>18</v>
      </c>
    </row>
    <row r="3" spans="1:14" x14ac:dyDescent="0.25">
      <c r="A3">
        <v>24107</v>
      </c>
      <c r="B3" t="s">
        <v>36</v>
      </c>
      <c r="C3" t="s">
        <v>38</v>
      </c>
      <c r="D3" s="14">
        <v>30000</v>
      </c>
      <c r="E3">
        <v>3</v>
      </c>
      <c r="F3" t="s">
        <v>19</v>
      </c>
      <c r="G3" t="s">
        <v>20</v>
      </c>
      <c r="H3" t="s">
        <v>15</v>
      </c>
      <c r="I3">
        <v>1</v>
      </c>
      <c r="J3" t="s">
        <v>16</v>
      </c>
      <c r="K3" t="s">
        <v>17</v>
      </c>
      <c r="L3">
        <v>43</v>
      </c>
      <c r="M3" t="str">
        <f t="shared" ref="M3:M66" si="0">IF(L3&gt;54, "Old",IF(L3&gt;=31,"Middle Age",IF(L3&lt;31,"Adolescent","Invalid")))</f>
        <v>Middle Age</v>
      </c>
      <c r="N3" t="s">
        <v>18</v>
      </c>
    </row>
    <row r="4" spans="1:14" x14ac:dyDescent="0.25">
      <c r="A4">
        <v>14177</v>
      </c>
      <c r="B4" t="s">
        <v>36</v>
      </c>
      <c r="C4" t="s">
        <v>38</v>
      </c>
      <c r="D4" s="14">
        <v>80000</v>
      </c>
      <c r="E4">
        <v>5</v>
      </c>
      <c r="F4" t="s">
        <v>19</v>
      </c>
      <c r="G4" t="s">
        <v>21</v>
      </c>
      <c r="H4" t="s">
        <v>18</v>
      </c>
      <c r="I4">
        <v>2</v>
      </c>
      <c r="J4" t="s">
        <v>22</v>
      </c>
      <c r="K4" t="s">
        <v>17</v>
      </c>
      <c r="L4">
        <v>60</v>
      </c>
      <c r="M4" t="str">
        <f t="shared" si="0"/>
        <v>Old</v>
      </c>
      <c r="N4" t="s">
        <v>18</v>
      </c>
    </row>
    <row r="5" spans="1:14" x14ac:dyDescent="0.25">
      <c r="A5">
        <v>24381</v>
      </c>
      <c r="B5" t="s">
        <v>37</v>
      </c>
      <c r="C5" t="s">
        <v>38</v>
      </c>
      <c r="D5" s="14">
        <v>70000</v>
      </c>
      <c r="E5">
        <v>0</v>
      </c>
      <c r="F5" t="s">
        <v>13</v>
      </c>
      <c r="G5" t="s">
        <v>21</v>
      </c>
      <c r="H5" t="s">
        <v>15</v>
      </c>
      <c r="I5">
        <v>1</v>
      </c>
      <c r="J5" t="s">
        <v>23</v>
      </c>
      <c r="K5" t="s">
        <v>24</v>
      </c>
      <c r="L5">
        <v>41</v>
      </c>
      <c r="M5" t="str">
        <f t="shared" si="0"/>
        <v>Middle Age</v>
      </c>
      <c r="N5" t="s">
        <v>15</v>
      </c>
    </row>
    <row r="6" spans="1:14" x14ac:dyDescent="0.25">
      <c r="A6">
        <v>25597</v>
      </c>
      <c r="B6" t="s">
        <v>37</v>
      </c>
      <c r="C6" t="s">
        <v>38</v>
      </c>
      <c r="D6" s="14">
        <v>30000</v>
      </c>
      <c r="E6">
        <v>0</v>
      </c>
      <c r="F6" t="s">
        <v>13</v>
      </c>
      <c r="G6" t="s">
        <v>20</v>
      </c>
      <c r="H6" t="s">
        <v>18</v>
      </c>
      <c r="I6">
        <v>0</v>
      </c>
      <c r="J6" t="s">
        <v>16</v>
      </c>
      <c r="K6" t="s">
        <v>17</v>
      </c>
      <c r="L6">
        <v>36</v>
      </c>
      <c r="M6" t="str">
        <f t="shared" si="0"/>
        <v>Middle Age</v>
      </c>
      <c r="N6" t="s">
        <v>15</v>
      </c>
    </row>
    <row r="7" spans="1:14" x14ac:dyDescent="0.25">
      <c r="A7">
        <v>13507</v>
      </c>
      <c r="B7" t="s">
        <v>36</v>
      </c>
      <c r="C7" t="s">
        <v>39</v>
      </c>
      <c r="D7" s="14">
        <v>10000</v>
      </c>
      <c r="E7">
        <v>2</v>
      </c>
      <c r="F7" t="s">
        <v>19</v>
      </c>
      <c r="G7" t="s">
        <v>25</v>
      </c>
      <c r="H7" t="s">
        <v>15</v>
      </c>
      <c r="I7">
        <v>0</v>
      </c>
      <c r="J7" t="s">
        <v>26</v>
      </c>
      <c r="K7" t="s">
        <v>17</v>
      </c>
      <c r="L7">
        <v>50</v>
      </c>
      <c r="M7" t="str">
        <f t="shared" si="0"/>
        <v>Middle Age</v>
      </c>
      <c r="N7" t="s">
        <v>18</v>
      </c>
    </row>
    <row r="8" spans="1:14" x14ac:dyDescent="0.25">
      <c r="A8">
        <v>27974</v>
      </c>
      <c r="B8" t="s">
        <v>37</v>
      </c>
      <c r="C8" t="s">
        <v>38</v>
      </c>
      <c r="D8" s="14">
        <v>160000</v>
      </c>
      <c r="E8">
        <v>2</v>
      </c>
      <c r="F8" t="s">
        <v>27</v>
      </c>
      <c r="G8" t="s">
        <v>28</v>
      </c>
      <c r="H8" t="s">
        <v>15</v>
      </c>
      <c r="I8">
        <v>4</v>
      </c>
      <c r="J8" t="s">
        <v>16</v>
      </c>
      <c r="K8" t="s">
        <v>24</v>
      </c>
      <c r="L8">
        <v>33</v>
      </c>
      <c r="M8" t="str">
        <f t="shared" si="0"/>
        <v>Middle Age</v>
      </c>
      <c r="N8" t="s">
        <v>15</v>
      </c>
    </row>
    <row r="9" spans="1:14" x14ac:dyDescent="0.25">
      <c r="A9">
        <v>19364</v>
      </c>
      <c r="B9" t="s">
        <v>36</v>
      </c>
      <c r="C9" t="s">
        <v>38</v>
      </c>
      <c r="D9" s="14">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4">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4">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4">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4">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4">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4">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4">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4">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4">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4">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4">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4">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4">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4">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4">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4">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4">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4">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4">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4">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4">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4">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4">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4">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4">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4">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4">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4">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4">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4">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4">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4">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4">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4">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4">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4">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4">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4">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4">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4">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4">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4">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4">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4">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4">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4">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4">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4">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4">
        <v>30000</v>
      </c>
      <c r="E67">
        <v>2</v>
      </c>
      <c r="F67" t="s">
        <v>19</v>
      </c>
      <c r="G67" t="s">
        <v>20</v>
      </c>
      <c r="H67" t="s">
        <v>15</v>
      </c>
      <c r="I67">
        <v>2</v>
      </c>
      <c r="J67" t="s">
        <v>23</v>
      </c>
      <c r="K67" t="s">
        <v>24</v>
      </c>
      <c r="L67">
        <v>68</v>
      </c>
      <c r="M67" t="str">
        <f t="shared" ref="M67:M130" si="1">IF(L67&gt;54, "Old",IF(L67&gt;=31,"Middle Age",IF(L67&lt;31,"Adolescent","Invalid")))</f>
        <v>Old</v>
      </c>
      <c r="N67" t="s">
        <v>18</v>
      </c>
    </row>
    <row r="68" spans="1:14" x14ac:dyDescent="0.25">
      <c r="A68">
        <v>29355</v>
      </c>
      <c r="B68" t="s">
        <v>36</v>
      </c>
      <c r="C68" t="s">
        <v>39</v>
      </c>
      <c r="D68" s="14">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4">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4">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4">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4">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4">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4">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4">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4">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14">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4">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4">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4">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4">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4">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4">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4">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4">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4">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4">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4">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4">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4">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4">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4">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4">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4">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4">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4">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4">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4">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4">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4">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4">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4">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4">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4">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4">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4">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4">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4">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4">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4">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4">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4">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4">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4">
        <v>10000</v>
      </c>
      <c r="E131">
        <v>3</v>
      </c>
      <c r="F131" t="s">
        <v>27</v>
      </c>
      <c r="G131" t="s">
        <v>25</v>
      </c>
      <c r="H131" t="s">
        <v>15</v>
      </c>
      <c r="I131">
        <v>1</v>
      </c>
      <c r="J131" t="s">
        <v>16</v>
      </c>
      <c r="K131" t="s">
        <v>17</v>
      </c>
      <c r="L131">
        <v>39</v>
      </c>
      <c r="M131" t="str">
        <f t="shared" ref="M131:M194" si="2">IF(L131&gt;54, "Old",IF(L131&gt;=31,"Middle Age",IF(L131&lt;31,"Adolescent","Invalid")))</f>
        <v>Middle Age</v>
      </c>
      <c r="N131" t="s">
        <v>15</v>
      </c>
    </row>
    <row r="132" spans="1:14" x14ac:dyDescent="0.25">
      <c r="A132">
        <v>12993</v>
      </c>
      <c r="B132" t="s">
        <v>36</v>
      </c>
      <c r="C132" t="s">
        <v>38</v>
      </c>
      <c r="D132" s="14">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4">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4">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4">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4">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4">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4">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4">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4">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4">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4">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4">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4">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4">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4">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4">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4">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4">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4">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4">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4">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4">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4">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4">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4">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4">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4">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4">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4">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4">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4">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4">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4">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4">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4">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4">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4">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4">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14">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4">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4">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4">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4">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4">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4">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4">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4">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4">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4">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4">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4">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4">
        <v>70000</v>
      </c>
      <c r="E195">
        <v>5</v>
      </c>
      <c r="F195" t="s">
        <v>13</v>
      </c>
      <c r="G195" t="s">
        <v>21</v>
      </c>
      <c r="H195" t="s">
        <v>15</v>
      </c>
      <c r="I195">
        <v>4</v>
      </c>
      <c r="J195" t="s">
        <v>46</v>
      </c>
      <c r="K195" t="s">
        <v>24</v>
      </c>
      <c r="L195">
        <v>41</v>
      </c>
      <c r="M195" t="str">
        <f t="shared" ref="M195:M258" si="3">IF(L195&gt;54, "Old",IF(L195&gt;=31,"Middle Age",IF(L195&lt;31,"Adolescent","Invalid")))</f>
        <v>Middle Age</v>
      </c>
      <c r="N195" t="s">
        <v>18</v>
      </c>
    </row>
    <row r="196" spans="1:14" x14ac:dyDescent="0.25">
      <c r="A196">
        <v>17843</v>
      </c>
      <c r="B196" t="s">
        <v>37</v>
      </c>
      <c r="C196" t="s">
        <v>39</v>
      </c>
      <c r="D196" s="14">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4">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4">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4">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4">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4">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4">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4">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4">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4">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4">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4">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4">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4">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4">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4">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4">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4">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4">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4">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4">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4">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4">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4">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4">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4">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4">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4">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4">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4">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4">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4">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4">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4">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4">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4">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4">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4">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4">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4">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4">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4">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4">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4">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4">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4">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4">
        <v>50000</v>
      </c>
      <c r="E259">
        <v>0</v>
      </c>
      <c r="F259" t="s">
        <v>31</v>
      </c>
      <c r="G259" t="s">
        <v>14</v>
      </c>
      <c r="H259" t="s">
        <v>15</v>
      </c>
      <c r="I259">
        <v>0</v>
      </c>
      <c r="J259" t="s">
        <v>16</v>
      </c>
      <c r="K259" t="s">
        <v>17</v>
      </c>
      <c r="L259">
        <v>36</v>
      </c>
      <c r="M259" t="str">
        <f t="shared" ref="M259:M322" si="4">IF(L259&gt;54, "Old",IF(L259&gt;=31,"Middle Age",IF(L259&lt;31,"Adolescent","Invalid")))</f>
        <v>Middle Age</v>
      </c>
      <c r="N259" t="s">
        <v>15</v>
      </c>
    </row>
    <row r="260" spans="1:14" x14ac:dyDescent="0.25">
      <c r="A260">
        <v>14193</v>
      </c>
      <c r="B260" t="s">
        <v>37</v>
      </c>
      <c r="C260" t="s">
        <v>39</v>
      </c>
      <c r="D260" s="14">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4">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4">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4">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4">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4">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4">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4">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4">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4">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4">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4">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4">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4">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4">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4">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4">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4">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4">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4">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4">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4">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4">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4">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4">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4">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4">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4">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4">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4">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4">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4">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4">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4">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4">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4">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4">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4">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4">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4">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4">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4">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4">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4">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4">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4">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4">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4">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4">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4">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4">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4">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4">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4">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4">
        <v>160000</v>
      </c>
      <c r="E323">
        <v>0</v>
      </c>
      <c r="F323" t="s">
        <v>31</v>
      </c>
      <c r="G323" t="s">
        <v>28</v>
      </c>
      <c r="H323" t="s">
        <v>18</v>
      </c>
      <c r="I323">
        <v>3</v>
      </c>
      <c r="J323" t="s">
        <v>16</v>
      </c>
      <c r="K323" t="s">
        <v>24</v>
      </c>
      <c r="L323">
        <v>47</v>
      </c>
      <c r="M323" t="str">
        <f t="shared" ref="M323:M386" si="5">IF(L323&gt;54, "Old",IF(L323&gt;=31,"Middle Age",IF(L323&lt;31,"Adolescent","Invalid")))</f>
        <v>Middle Age</v>
      </c>
      <c r="N323" t="s">
        <v>15</v>
      </c>
    </row>
    <row r="324" spans="1:14" x14ac:dyDescent="0.25">
      <c r="A324">
        <v>16410</v>
      </c>
      <c r="B324" t="s">
        <v>37</v>
      </c>
      <c r="C324" t="s">
        <v>39</v>
      </c>
      <c r="D324" s="1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4">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4">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4">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4">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4">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4">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4">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4">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4">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4">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4">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4">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4">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4">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4">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4">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4">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4">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4">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4">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4">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4">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4">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4">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4">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4">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4">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4">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14">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4">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4">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4">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4">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4">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4">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4">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4">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4">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4">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4">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4">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4">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4">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4">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14">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4">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4">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4">
        <v>30000</v>
      </c>
      <c r="E387">
        <v>3</v>
      </c>
      <c r="F387" t="s">
        <v>19</v>
      </c>
      <c r="G387" t="s">
        <v>20</v>
      </c>
      <c r="H387" t="s">
        <v>15</v>
      </c>
      <c r="I387">
        <v>0</v>
      </c>
      <c r="J387" t="s">
        <v>16</v>
      </c>
      <c r="K387" t="s">
        <v>17</v>
      </c>
      <c r="L387">
        <v>43</v>
      </c>
      <c r="M387" t="str">
        <f t="shared" ref="M387:M450" si="6">IF(L387&gt;54, "Old",IF(L387&gt;=31,"Middle Age",IF(L387&lt;31,"Adolescent","Invalid")))</f>
        <v>Middle Age</v>
      </c>
      <c r="N387" t="s">
        <v>18</v>
      </c>
    </row>
    <row r="388" spans="1:14" x14ac:dyDescent="0.25">
      <c r="A388">
        <v>28957</v>
      </c>
      <c r="B388" t="s">
        <v>37</v>
      </c>
      <c r="C388" t="s">
        <v>39</v>
      </c>
      <c r="D388" s="14">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4">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4">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4">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4">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4">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4">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4">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4">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4">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4">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4">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4">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4">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4">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4">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4">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4">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4">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4">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4">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4">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4">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4">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4">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4">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4">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4">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4">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4">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4">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4">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4">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4">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4">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4">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4">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4">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4">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4">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4">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4">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4">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4">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4">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4">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4">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4">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4">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4">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4">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4">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4">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4">
        <v>40000</v>
      </c>
      <c r="E451">
        <v>1</v>
      </c>
      <c r="F451" t="s">
        <v>13</v>
      </c>
      <c r="G451" t="s">
        <v>14</v>
      </c>
      <c r="H451" t="s">
        <v>15</v>
      </c>
      <c r="I451">
        <v>0</v>
      </c>
      <c r="J451" t="s">
        <v>16</v>
      </c>
      <c r="K451" t="s">
        <v>17</v>
      </c>
      <c r="L451">
        <v>42</v>
      </c>
      <c r="M451" t="str">
        <f t="shared" ref="M451:M514" si="7">IF(L451&gt;54, "Old",IF(L451&gt;=31,"Middle Age",IF(L451&lt;31,"Adolescent","Invalid")))</f>
        <v>Middle Age</v>
      </c>
      <c r="N451" t="s">
        <v>18</v>
      </c>
    </row>
    <row r="452" spans="1:14" x14ac:dyDescent="0.25">
      <c r="A452">
        <v>16559</v>
      </c>
      <c r="B452" t="s">
        <v>37</v>
      </c>
      <c r="C452" t="s">
        <v>39</v>
      </c>
      <c r="D452" s="14">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4">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4">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4">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4">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4">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4">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4">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4">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4">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4">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4">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4">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4">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4">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4">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4">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4">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4">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4">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4">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4">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4">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4">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4">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4">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4">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4">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4">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4">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4">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4">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4">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4">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4">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4">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4">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4">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4">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4">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4">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4">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4">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4">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4">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4">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4">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4">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4">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4">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4">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4">
        <v>60000</v>
      </c>
      <c r="E515">
        <v>4</v>
      </c>
      <c r="F515" t="s">
        <v>31</v>
      </c>
      <c r="G515" t="s">
        <v>28</v>
      </c>
      <c r="H515" t="s">
        <v>15</v>
      </c>
      <c r="I515">
        <v>2</v>
      </c>
      <c r="J515" t="s">
        <v>46</v>
      </c>
      <c r="K515" t="s">
        <v>32</v>
      </c>
      <c r="L515">
        <v>61</v>
      </c>
      <c r="M515" t="str">
        <f t="shared" ref="M515:M578" si="8">IF(L515&gt;54, "Old",IF(L515&gt;=31,"Middle Age",IF(L515&lt;31,"Adolescent","Invalid")))</f>
        <v>Old</v>
      </c>
      <c r="N515" t="s">
        <v>15</v>
      </c>
    </row>
    <row r="516" spans="1:14" x14ac:dyDescent="0.25">
      <c r="A516">
        <v>19399</v>
      </c>
      <c r="B516" t="s">
        <v>37</v>
      </c>
      <c r="C516" t="s">
        <v>38</v>
      </c>
      <c r="D516" s="14">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4">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4">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4">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4">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4">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4">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4">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4">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4">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4">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4">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4">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4">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4">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4">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4">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4">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4">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4">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4">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4">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4">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4">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4">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4">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4">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4">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4">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4">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4">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4">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4">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4">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4">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4">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4">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4">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4">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4">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4">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4">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4">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4">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4">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4">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4">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4">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4">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4">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4">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4">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4">
        <v>120000</v>
      </c>
      <c r="E579">
        <v>1</v>
      </c>
      <c r="F579" t="s">
        <v>13</v>
      </c>
      <c r="G579" t="s">
        <v>28</v>
      </c>
      <c r="H579" t="s">
        <v>15</v>
      </c>
      <c r="I579">
        <v>4</v>
      </c>
      <c r="J579" t="s">
        <v>16</v>
      </c>
      <c r="K579" t="s">
        <v>32</v>
      </c>
      <c r="L579">
        <v>38</v>
      </c>
      <c r="M579" t="str">
        <f t="shared" ref="M579:M642" si="9">IF(L579&gt;54, "Old",IF(L579&gt;=31,"Middle Age",IF(L579&lt;31,"Adolescent","Invalid")))</f>
        <v>Middle Age</v>
      </c>
      <c r="N579" t="s">
        <v>18</v>
      </c>
    </row>
    <row r="580" spans="1:14" x14ac:dyDescent="0.25">
      <c r="A580">
        <v>15313</v>
      </c>
      <c r="B580" t="s">
        <v>36</v>
      </c>
      <c r="C580" t="s">
        <v>38</v>
      </c>
      <c r="D580" s="14">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4">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4">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4">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4">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4">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4">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4">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4">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4">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4">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4">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4">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4">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4">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4">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4">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4">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4">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4">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4">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4">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4">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4">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4">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4">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4">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4">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4">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4">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4">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4">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4">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4">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4">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4">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4">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4">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4">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4">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4">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4">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4">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4">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4">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4">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4">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4">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4">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4">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4">
        <v>50000</v>
      </c>
      <c r="E643">
        <v>4</v>
      </c>
      <c r="F643" t="s">
        <v>13</v>
      </c>
      <c r="G643" t="s">
        <v>28</v>
      </c>
      <c r="H643" t="s">
        <v>15</v>
      </c>
      <c r="I643">
        <v>2</v>
      </c>
      <c r="J643" t="s">
        <v>46</v>
      </c>
      <c r="K643" t="s">
        <v>32</v>
      </c>
      <c r="L643">
        <v>64</v>
      </c>
      <c r="M643" t="str">
        <f t="shared" ref="M643:M706" si="10">IF(L643&gt;54, "Old",IF(L643&gt;=31,"Middle Age",IF(L643&lt;31,"Adolescent","Invalid")))</f>
        <v>Old</v>
      </c>
      <c r="N643" t="s">
        <v>18</v>
      </c>
    </row>
    <row r="644" spans="1:14" x14ac:dyDescent="0.25">
      <c r="A644">
        <v>21741</v>
      </c>
      <c r="B644" t="s">
        <v>36</v>
      </c>
      <c r="C644" t="s">
        <v>39</v>
      </c>
      <c r="D644" s="1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4">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4">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4">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4">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4">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4">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4">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4">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4">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4">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4">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4">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4">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4">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4">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4">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4">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4">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4">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4">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4">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4">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4">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4">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4">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4">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4">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4">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4">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4">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4">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4">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4">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4">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4">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4">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4">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4">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4">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4">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4">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4">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4">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4">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4">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4">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4">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4">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4">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4">
        <v>70000</v>
      </c>
      <c r="E707">
        <v>4</v>
      </c>
      <c r="F707" t="s">
        <v>13</v>
      </c>
      <c r="G707" t="s">
        <v>28</v>
      </c>
      <c r="H707" t="s">
        <v>15</v>
      </c>
      <c r="I707">
        <v>1</v>
      </c>
      <c r="J707" t="s">
        <v>46</v>
      </c>
      <c r="K707" t="s">
        <v>32</v>
      </c>
      <c r="L707">
        <v>59</v>
      </c>
      <c r="M707" t="str">
        <f t="shared" ref="M707:M770" si="11">IF(L707&gt;54, "Old",IF(L707&gt;=31,"Middle Age",IF(L707&lt;31,"Adolescent","Invalid")))</f>
        <v>Old</v>
      </c>
      <c r="N707" t="s">
        <v>18</v>
      </c>
    </row>
    <row r="708" spans="1:14" x14ac:dyDescent="0.25">
      <c r="A708">
        <v>20296</v>
      </c>
      <c r="B708" t="s">
        <v>37</v>
      </c>
      <c r="C708" t="s">
        <v>39</v>
      </c>
      <c r="D708" s="14">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4">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4">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4">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4">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4">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4">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4">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4">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4">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4">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4">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4">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4">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4">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4">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4">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4">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4">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4">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4">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4">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4">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4">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4">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4">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4">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4">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4">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1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4">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4">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4">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4">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4">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4">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4">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4">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4">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4">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4">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4">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4">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4">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4">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4">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4">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4">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4">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4">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4">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4">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4">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4">
        <v>100000</v>
      </c>
      <c r="E771">
        <v>4</v>
      </c>
      <c r="F771" t="s">
        <v>13</v>
      </c>
      <c r="G771" t="s">
        <v>28</v>
      </c>
      <c r="H771" t="s">
        <v>15</v>
      </c>
      <c r="I771">
        <v>4</v>
      </c>
      <c r="J771" t="s">
        <v>16</v>
      </c>
      <c r="K771" t="s">
        <v>32</v>
      </c>
      <c r="L771">
        <v>40</v>
      </c>
      <c r="M771" t="str">
        <f t="shared" ref="M771:M834" si="12">IF(L771&gt;54, "Old",IF(L771&gt;=31,"Middle Age",IF(L771&lt;31,"Adolescent","Invalid")))</f>
        <v>Middle Age</v>
      </c>
      <c r="N771" t="s">
        <v>18</v>
      </c>
    </row>
    <row r="772" spans="1:14" x14ac:dyDescent="0.25">
      <c r="A772">
        <v>17699</v>
      </c>
      <c r="B772" t="s">
        <v>36</v>
      </c>
      <c r="C772" t="s">
        <v>38</v>
      </c>
      <c r="D772" s="14">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4">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4">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4">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4">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4">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4">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4">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4">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14">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4">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4">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4">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4">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4">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4">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4">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4">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4">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4">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4">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4">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4">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4">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4">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4">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4">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4">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4">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4">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4">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4">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4">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4">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4">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4">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4">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4">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4">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4">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4">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4">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4">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4">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4">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4">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4">
        <v>70000</v>
      </c>
      <c r="E835">
        <v>0</v>
      </c>
      <c r="F835" t="s">
        <v>13</v>
      </c>
      <c r="G835" t="s">
        <v>21</v>
      </c>
      <c r="H835" t="s">
        <v>18</v>
      </c>
      <c r="I835">
        <v>1</v>
      </c>
      <c r="J835" t="s">
        <v>16</v>
      </c>
      <c r="K835" t="s">
        <v>32</v>
      </c>
      <c r="L835">
        <v>37</v>
      </c>
      <c r="M835" t="str">
        <f t="shared" ref="M835:M898" si="13">IF(L835&gt;54, "Old",IF(L835&gt;=31,"Middle Age",IF(L835&lt;31,"Adolescent","Invalid")))</f>
        <v>Middle Age</v>
      </c>
      <c r="N835" t="s">
        <v>15</v>
      </c>
    </row>
    <row r="836" spans="1:14" x14ac:dyDescent="0.25">
      <c r="A836">
        <v>19889</v>
      </c>
      <c r="B836" t="s">
        <v>37</v>
      </c>
      <c r="C836" t="s">
        <v>39</v>
      </c>
      <c r="D836" s="14">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4">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4">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4">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4">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4">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4">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4">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4">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4">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4">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4">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4">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4">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4">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4">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4">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4">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4">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4">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4">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4">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4">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4">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4">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4">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4">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14">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4">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4">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4">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4">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1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4">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4">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4">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4">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4">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4">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4">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4">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4">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4">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4">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4">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4">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4">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4">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4">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4">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4">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4">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4">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4">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4">
        <v>30000</v>
      </c>
      <c r="E899">
        <v>0</v>
      </c>
      <c r="F899" t="s">
        <v>29</v>
      </c>
      <c r="G899" t="s">
        <v>20</v>
      </c>
      <c r="H899" t="s">
        <v>18</v>
      </c>
      <c r="I899">
        <v>2</v>
      </c>
      <c r="J899" t="s">
        <v>16</v>
      </c>
      <c r="K899" t="s">
        <v>32</v>
      </c>
      <c r="L899">
        <v>28</v>
      </c>
      <c r="M899" t="str">
        <f t="shared" ref="M899:M962" si="14">IF(L899&gt;54, "Old",IF(L899&gt;=31,"Middle Age",IF(L899&lt;31,"Adolescent","Invalid")))</f>
        <v>Adolescent</v>
      </c>
      <c r="N899" t="s">
        <v>18</v>
      </c>
    </row>
    <row r="900" spans="1:14" x14ac:dyDescent="0.25">
      <c r="A900">
        <v>18066</v>
      </c>
      <c r="B900" t="s">
        <v>37</v>
      </c>
      <c r="C900" t="s">
        <v>38</v>
      </c>
      <c r="D900" s="14">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4">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4">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4">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4">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4">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4">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4">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4">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4">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4">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4">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4">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4">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4">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4">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4">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4">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4">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4">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4">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4">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4">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4">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4">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4">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4">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4">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4">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4">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4">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4">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4">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4">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4">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4">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4">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4">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4">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4">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4">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4">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4">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4">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4">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4">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4">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4">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4">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4">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4">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4">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4">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4">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4">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4">
        <v>120000</v>
      </c>
      <c r="E963">
        <v>2</v>
      </c>
      <c r="F963" t="s">
        <v>13</v>
      </c>
      <c r="G963" t="s">
        <v>28</v>
      </c>
      <c r="H963" t="s">
        <v>15</v>
      </c>
      <c r="I963">
        <v>3</v>
      </c>
      <c r="J963" t="s">
        <v>23</v>
      </c>
      <c r="K963" t="s">
        <v>32</v>
      </c>
      <c r="L963">
        <v>62</v>
      </c>
      <c r="M963" t="str">
        <f t="shared" ref="M963:M1001" si="15">IF(L963&gt;54, "Old",IF(L963&gt;=31,"Middle Age",IF(L963&lt;31,"Adolescent","Invalid")))</f>
        <v>Old</v>
      </c>
      <c r="N963" t="s">
        <v>18</v>
      </c>
    </row>
    <row r="964" spans="1:14" x14ac:dyDescent="0.25">
      <c r="A964">
        <v>16813</v>
      </c>
      <c r="B964" t="s">
        <v>36</v>
      </c>
      <c r="C964" t="s">
        <v>38</v>
      </c>
      <c r="D964" s="14">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14">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4">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4">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4">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4">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4">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4">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4">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4">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4">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4">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4">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4">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4">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4">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4">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4">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4">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4">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4">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4">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4">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4">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4">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4">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4">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4">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4">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4">
        <v>60000</v>
      </c>
      <c r="E1001">
        <v>3</v>
      </c>
      <c r="F1001" t="s">
        <v>27</v>
      </c>
      <c r="G1001" t="s">
        <v>21</v>
      </c>
      <c r="H1001" t="s">
        <v>15</v>
      </c>
      <c r="I1001">
        <v>2</v>
      </c>
      <c r="J1001" t="s">
        <v>46</v>
      </c>
      <c r="K1001" t="s">
        <v>32</v>
      </c>
      <c r="L1001">
        <v>53</v>
      </c>
      <c r="M1001" t="str">
        <f t="shared" si="15"/>
        <v>Middle Age</v>
      </c>
      <c r="N1001" t="s">
        <v>15</v>
      </c>
    </row>
  </sheetData>
  <autoFilter ref="A1:N1001" xr:uid="{8CF244FF-A0ED-47E1-BF85-E2898B8331C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5C793-6347-4266-B65D-202176103BBD}">
  <dimension ref="G13:J74"/>
  <sheetViews>
    <sheetView topLeftCell="F43" workbookViewId="0">
      <selection activeCell="G57" sqref="G57"/>
    </sheetView>
  </sheetViews>
  <sheetFormatPr defaultRowHeight="15" x14ac:dyDescent="0.25"/>
  <cols>
    <col min="1" max="1" width="13.140625" bestFit="1" customWidth="1"/>
    <col min="2" max="2" width="17.85546875" bestFit="1" customWidth="1"/>
    <col min="7" max="7" width="22.85546875" bestFit="1" customWidth="1"/>
    <col min="8" max="8" width="16.28515625" bestFit="1" customWidth="1"/>
    <col min="9" max="9" width="4.140625" bestFit="1" customWidth="1"/>
    <col min="10" max="10" width="11.28515625" bestFit="1" customWidth="1"/>
  </cols>
  <sheetData>
    <row r="13" spans="7:10" x14ac:dyDescent="0.25">
      <c r="G13" s="12" t="s">
        <v>43</v>
      </c>
      <c r="H13" s="12" t="s">
        <v>44</v>
      </c>
    </row>
    <row r="14" spans="7:10" x14ac:dyDescent="0.25">
      <c r="G14" s="12" t="s">
        <v>41</v>
      </c>
      <c r="H14" t="s">
        <v>18</v>
      </c>
      <c r="I14" t="s">
        <v>15</v>
      </c>
      <c r="J14" t="s">
        <v>42</v>
      </c>
    </row>
    <row r="15" spans="7:10" x14ac:dyDescent="0.25">
      <c r="G15" s="13" t="s">
        <v>39</v>
      </c>
      <c r="H15" s="14">
        <v>66666.666666666672</v>
      </c>
      <c r="I15" s="14">
        <v>35000</v>
      </c>
      <c r="J15" s="14">
        <v>48571.428571428572</v>
      </c>
    </row>
    <row r="16" spans="7:10" x14ac:dyDescent="0.25">
      <c r="G16" s="13" t="s">
        <v>38</v>
      </c>
      <c r="H16" s="14">
        <v>22500</v>
      </c>
      <c r="I16" s="14">
        <v>33333.333333333336</v>
      </c>
      <c r="J16" s="14">
        <v>30000</v>
      </c>
    </row>
    <row r="17" spans="7:10" x14ac:dyDescent="0.25">
      <c r="G17" s="13" t="s">
        <v>42</v>
      </c>
      <c r="H17" s="14">
        <v>41428.571428571428</v>
      </c>
      <c r="I17" s="14">
        <v>33846.153846153844</v>
      </c>
      <c r="J17" s="14">
        <v>36500</v>
      </c>
    </row>
    <row r="25" spans="7:10" x14ac:dyDescent="0.25">
      <c r="G25" s="12" t="s">
        <v>45</v>
      </c>
      <c r="H25" s="12" t="s">
        <v>44</v>
      </c>
    </row>
    <row r="26" spans="7:10" x14ac:dyDescent="0.25">
      <c r="G26" s="12" t="s">
        <v>41</v>
      </c>
      <c r="H26" t="s">
        <v>18</v>
      </c>
      <c r="I26" t="s">
        <v>15</v>
      </c>
      <c r="J26" t="s">
        <v>42</v>
      </c>
    </row>
    <row r="27" spans="7:10" x14ac:dyDescent="0.25">
      <c r="G27" s="13" t="s">
        <v>16</v>
      </c>
      <c r="H27" s="17">
        <v>3</v>
      </c>
      <c r="I27" s="17">
        <v>11</v>
      </c>
      <c r="J27" s="17">
        <v>14</v>
      </c>
    </row>
    <row r="28" spans="7:10" x14ac:dyDescent="0.25">
      <c r="G28" s="13" t="s">
        <v>26</v>
      </c>
      <c r="H28" s="17">
        <v>1</v>
      </c>
      <c r="I28" s="17">
        <v>2</v>
      </c>
      <c r="J28" s="17">
        <v>3</v>
      </c>
    </row>
    <row r="29" spans="7:10" x14ac:dyDescent="0.25">
      <c r="G29" s="13" t="s">
        <v>22</v>
      </c>
      <c r="H29" s="17">
        <v>1</v>
      </c>
      <c r="I29" s="17"/>
      <c r="J29" s="17">
        <v>1</v>
      </c>
    </row>
    <row r="30" spans="7:10" x14ac:dyDescent="0.25">
      <c r="G30" s="13" t="s">
        <v>46</v>
      </c>
      <c r="H30" s="17">
        <v>2</v>
      </c>
      <c r="I30" s="17"/>
      <c r="J30" s="17">
        <v>2</v>
      </c>
    </row>
    <row r="31" spans="7:10" x14ac:dyDescent="0.25">
      <c r="G31" s="13" t="s">
        <v>42</v>
      </c>
      <c r="H31" s="17">
        <v>7</v>
      </c>
      <c r="I31" s="17">
        <v>13</v>
      </c>
      <c r="J31" s="17">
        <v>20</v>
      </c>
    </row>
    <row r="41" spans="7:10" x14ac:dyDescent="0.25">
      <c r="G41" s="12" t="s">
        <v>45</v>
      </c>
      <c r="H41" s="12" t="s">
        <v>44</v>
      </c>
    </row>
    <row r="42" spans="7:10" x14ac:dyDescent="0.25">
      <c r="G42" s="12" t="s">
        <v>41</v>
      </c>
      <c r="H42" t="s">
        <v>18</v>
      </c>
      <c r="I42" t="s">
        <v>15</v>
      </c>
      <c r="J42" t="s">
        <v>42</v>
      </c>
    </row>
    <row r="43" spans="7:10" x14ac:dyDescent="0.25">
      <c r="G43" s="13" t="s">
        <v>47</v>
      </c>
      <c r="H43" s="17">
        <v>4</v>
      </c>
      <c r="I43" s="17">
        <v>12</v>
      </c>
      <c r="J43" s="17">
        <v>16</v>
      </c>
    </row>
    <row r="44" spans="7:10" x14ac:dyDescent="0.25">
      <c r="G44" s="13" t="s">
        <v>48</v>
      </c>
      <c r="H44" s="17">
        <v>3</v>
      </c>
      <c r="I44" s="17">
        <v>1</v>
      </c>
      <c r="J44" s="17">
        <v>4</v>
      </c>
    </row>
    <row r="45" spans="7:10" x14ac:dyDescent="0.25">
      <c r="G45" s="13" t="s">
        <v>42</v>
      </c>
      <c r="H45" s="17">
        <v>7</v>
      </c>
      <c r="I45" s="17">
        <v>13</v>
      </c>
      <c r="J45" s="17">
        <v>20</v>
      </c>
    </row>
    <row r="57" spans="7:9" x14ac:dyDescent="0.25">
      <c r="G57" s="3"/>
      <c r="H57" s="4"/>
      <c r="I57" s="5"/>
    </row>
    <row r="58" spans="7:9" x14ac:dyDescent="0.25">
      <c r="G58" s="6"/>
      <c r="H58" s="7"/>
      <c r="I58" s="8"/>
    </row>
    <row r="59" spans="7:9" x14ac:dyDescent="0.25">
      <c r="G59" s="6"/>
      <c r="H59" s="7"/>
      <c r="I59" s="8"/>
    </row>
    <row r="60" spans="7:9" x14ac:dyDescent="0.25">
      <c r="G60" s="6"/>
      <c r="H60" s="7"/>
      <c r="I60" s="8"/>
    </row>
    <row r="61" spans="7:9" x14ac:dyDescent="0.25">
      <c r="G61" s="6"/>
      <c r="H61" s="7"/>
      <c r="I61" s="8"/>
    </row>
    <row r="62" spans="7:9" x14ac:dyDescent="0.25">
      <c r="G62" s="6"/>
      <c r="H62" s="7"/>
      <c r="I62" s="8"/>
    </row>
    <row r="63" spans="7:9" x14ac:dyDescent="0.25">
      <c r="G63" s="6"/>
      <c r="H63" s="7"/>
      <c r="I63" s="8"/>
    </row>
    <row r="64" spans="7:9" x14ac:dyDescent="0.25">
      <c r="G64" s="6"/>
      <c r="H64" s="7"/>
      <c r="I64" s="8"/>
    </row>
    <row r="65" spans="7:9" x14ac:dyDescent="0.25">
      <c r="G65" s="6"/>
      <c r="H65" s="7"/>
      <c r="I65" s="8"/>
    </row>
    <row r="66" spans="7:9" x14ac:dyDescent="0.25">
      <c r="G66" s="6"/>
      <c r="H66" s="7"/>
      <c r="I66" s="8"/>
    </row>
    <row r="67" spans="7:9" x14ac:dyDescent="0.25">
      <c r="G67" s="6"/>
      <c r="H67" s="7"/>
      <c r="I67" s="8"/>
    </row>
    <row r="68" spans="7:9" x14ac:dyDescent="0.25">
      <c r="G68" s="6"/>
      <c r="H68" s="7"/>
      <c r="I68" s="8"/>
    </row>
    <row r="69" spans="7:9" x14ac:dyDescent="0.25">
      <c r="G69" s="6"/>
      <c r="H69" s="7"/>
      <c r="I69" s="8"/>
    </row>
    <row r="70" spans="7:9" x14ac:dyDescent="0.25">
      <c r="G70" s="6"/>
      <c r="H70" s="7"/>
      <c r="I70" s="8"/>
    </row>
    <row r="71" spans="7:9" x14ac:dyDescent="0.25">
      <c r="G71" s="6"/>
      <c r="H71" s="7"/>
      <c r="I71" s="8"/>
    </row>
    <row r="72" spans="7:9" x14ac:dyDescent="0.25">
      <c r="G72" s="6"/>
      <c r="H72" s="7"/>
      <c r="I72" s="8"/>
    </row>
    <row r="73" spans="7:9" x14ac:dyDescent="0.25">
      <c r="G73" s="6"/>
      <c r="H73" s="7"/>
      <c r="I73" s="8"/>
    </row>
    <row r="74" spans="7:9" x14ac:dyDescent="0.25">
      <c r="G74" s="9"/>
      <c r="H74" s="10"/>
      <c r="I74" s="11"/>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9C23-E19F-43A9-BF3E-B1D58A9CF8D5}">
  <dimension ref="A1:O4"/>
  <sheetViews>
    <sheetView showGridLines="0" tabSelected="1" topLeftCell="A6" workbookViewId="0">
      <selection activeCell="R14" sqref="R14"/>
    </sheetView>
  </sheetViews>
  <sheetFormatPr defaultRowHeight="15" x14ac:dyDescent="0.25"/>
  <sheetData>
    <row r="1" spans="1:15" x14ac:dyDescent="0.25">
      <c r="A1" s="15" t="s">
        <v>49</v>
      </c>
      <c r="B1" s="16"/>
      <c r="C1" s="16"/>
      <c r="D1" s="16"/>
      <c r="E1" s="16"/>
      <c r="F1" s="16"/>
      <c r="G1" s="16"/>
      <c r="H1" s="16"/>
      <c r="I1" s="16"/>
      <c r="J1" s="16"/>
      <c r="K1" s="16"/>
      <c r="L1" s="16"/>
      <c r="M1" s="16"/>
      <c r="N1" s="16"/>
      <c r="O1" s="16"/>
    </row>
    <row r="2" spans="1:15" x14ac:dyDescent="0.25">
      <c r="A2" s="16"/>
      <c r="B2" s="16"/>
      <c r="C2" s="16"/>
      <c r="D2" s="16"/>
      <c r="E2" s="16"/>
      <c r="F2" s="16"/>
      <c r="G2" s="16"/>
      <c r="H2" s="16"/>
      <c r="I2" s="16"/>
      <c r="J2" s="16"/>
      <c r="K2" s="16"/>
      <c r="L2" s="16"/>
      <c r="M2" s="16"/>
      <c r="N2" s="16"/>
      <c r="O2" s="16"/>
    </row>
    <row r="3" spans="1:15" x14ac:dyDescent="0.25">
      <c r="A3" s="16"/>
      <c r="B3" s="16"/>
      <c r="C3" s="16"/>
      <c r="D3" s="16"/>
      <c r="E3" s="16"/>
      <c r="F3" s="16"/>
      <c r="G3" s="16"/>
      <c r="H3" s="16"/>
      <c r="I3" s="16"/>
      <c r="J3" s="16"/>
      <c r="K3" s="16"/>
      <c r="L3" s="16"/>
      <c r="M3" s="16"/>
      <c r="N3" s="16"/>
      <c r="O3" s="16"/>
    </row>
    <row r="4" spans="1:15" x14ac:dyDescent="0.25">
      <c r="A4" s="16"/>
      <c r="B4" s="16"/>
      <c r="C4" s="16"/>
      <c r="D4" s="16"/>
      <c r="E4" s="16"/>
      <c r="F4" s="16"/>
      <c r="G4" s="16"/>
      <c r="H4" s="16"/>
      <c r="I4" s="16"/>
      <c r="J4" s="16"/>
      <c r="K4" s="16"/>
      <c r="L4" s="16"/>
      <c r="M4" s="16"/>
      <c r="N4" s="16"/>
      <c r="O4" s="16"/>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TENDO JACKLINE</cp:lastModifiedBy>
  <dcterms:created xsi:type="dcterms:W3CDTF">2022-03-18T02:50:57Z</dcterms:created>
  <dcterms:modified xsi:type="dcterms:W3CDTF">2026-04-28T15:10:22Z</dcterms:modified>
</cp:coreProperties>
</file>